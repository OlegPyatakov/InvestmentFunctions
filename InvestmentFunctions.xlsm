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YandexDisk\05 Projects\01 VBA\06 InvestmentFunctions\"/>
    </mc:Choice>
  </mc:AlternateContent>
  <bookViews>
    <workbookView xWindow="-105" yWindow="-105" windowWidth="23250" windowHeight="12570"/>
  </bookViews>
  <sheets>
    <sheet name="About" sheetId="1" r:id="rId1"/>
    <sheet name="Examples_EN" sheetId="4" r:id="rId2"/>
    <sheet name="Examples_RU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1" i="4" l="1"/>
  <c r="F54" i="4"/>
  <c r="E44" i="4"/>
  <c r="G35" i="4"/>
  <c r="C35" i="4"/>
  <c r="J26" i="4"/>
  <c r="F26" i="4"/>
  <c r="C8" i="4"/>
  <c r="C63" i="4"/>
  <c r="E54" i="4"/>
  <c r="D44" i="4"/>
  <c r="F35" i="4"/>
  <c r="M26" i="4"/>
  <c r="I26" i="4"/>
  <c r="E26" i="4"/>
  <c r="H54" i="4"/>
  <c r="D54" i="4"/>
  <c r="C44" i="4"/>
  <c r="E35" i="4"/>
  <c r="L26" i="4"/>
  <c r="H26" i="4"/>
  <c r="D26" i="4"/>
  <c r="G54" i="4"/>
  <c r="C54" i="4"/>
  <c r="H35" i="4"/>
  <c r="D35" i="4"/>
  <c r="K26" i="4"/>
  <c r="G26" i="4"/>
  <c r="C18" i="4"/>
  <c r="C71" i="3"/>
  <c r="F54" i="3"/>
  <c r="E44" i="3"/>
  <c r="G35" i="3"/>
  <c r="C35" i="3"/>
  <c r="J26" i="3"/>
  <c r="F26" i="3"/>
  <c r="C8" i="3"/>
  <c r="D44" i="3"/>
  <c r="M26" i="3"/>
  <c r="E26" i="3"/>
  <c r="D54" i="3"/>
  <c r="E35" i="3"/>
  <c r="H26" i="3"/>
  <c r="C63" i="3"/>
  <c r="H54" i="3"/>
  <c r="G54" i="3"/>
  <c r="C54" i="3"/>
  <c r="H35" i="3"/>
  <c r="D35" i="3"/>
  <c r="K26" i="3"/>
  <c r="G26" i="3"/>
  <c r="C18" i="3"/>
  <c r="E54" i="3"/>
  <c r="F35" i="3"/>
  <c r="I26" i="3"/>
  <c r="C44" i="3"/>
  <c r="L26" i="3"/>
  <c r="D26" i="3"/>
</calcChain>
</file>

<file path=xl/sharedStrings.xml><?xml version="1.0" encoding="utf-8"?>
<sst xmlns="http://schemas.openxmlformats.org/spreadsheetml/2006/main" count="82" uniqueCount="50">
  <si>
    <t>email: oleg@pyatakov.com</t>
  </si>
  <si>
    <t>Investment Functions</t>
  </si>
  <si>
    <t>fCAGR - расчет CAGR по вектору значений</t>
  </si>
  <si>
    <t>Примеры использования функций:</t>
  </si>
  <si>
    <t>fCAGR=</t>
  </si>
  <si>
    <t>fCAGR2 - расчет CAGR по начальному и конечному значению</t>
  </si>
  <si>
    <t>dStartValue</t>
  </si>
  <si>
    <t>dEndValue</t>
  </si>
  <si>
    <t>rValuesRange</t>
  </si>
  <si>
    <t>dStartYear</t>
  </si>
  <si>
    <t>dEndYear</t>
  </si>
  <si>
    <t>version: 1.0</t>
  </si>
  <si>
    <t>fDepreciation - расчет амортизации</t>
  </si>
  <si>
    <t>rCapex</t>
  </si>
  <si>
    <t>dDepreciationPeriod</t>
  </si>
  <si>
    <t>fIncomeTax - расчет налога на прибыль</t>
  </si>
  <si>
    <t>rProfitRange</t>
  </si>
  <si>
    <t>dTaxRate</t>
  </si>
  <si>
    <t>dPriorProfitsAndLosses</t>
  </si>
  <si>
    <t>fLimit - ограничение числа в целевом диапазоне</t>
  </si>
  <si>
    <t>varInput</t>
  </si>
  <si>
    <t>varLimit1</t>
  </si>
  <si>
    <t>varLimit2</t>
  </si>
  <si>
    <t>fDepreciation=</t>
  </si>
  <si>
    <t>fIncomeTax=</t>
  </si>
  <si>
    <t>fLimit=</t>
  </si>
  <si>
    <t>fPayout - расчет свободного денежного потока с учетом будущих поступлений и платежей</t>
  </si>
  <si>
    <t>dPayoutBase</t>
  </si>
  <si>
    <t>rFutureCashFlow</t>
  </si>
  <si>
    <t>dWACC</t>
  </si>
  <si>
    <t>dMinCashLimit</t>
  </si>
  <si>
    <t>fPayout=</t>
  </si>
  <si>
    <t>varCashFlowRange</t>
  </si>
  <si>
    <t>varDiscountRate</t>
  </si>
  <si>
    <t>varGrowthRate</t>
  </si>
  <si>
    <t>fPBP=</t>
  </si>
  <si>
    <t>fPBP - расчет простого и дисконтированного срока окупаемости</t>
  </si>
  <si>
    <t>fPI - расчет Profitability Index (PI)</t>
  </si>
  <si>
    <t>fPI=</t>
  </si>
  <si>
    <t>fCAGR2=</t>
  </si>
  <si>
    <t>Functions usage examples</t>
  </si>
  <si>
    <t>fCAGR - calculate CAGR from a range of cells</t>
  </si>
  <si>
    <t>fCAGR2 - calculate CAGR from start and end values</t>
  </si>
  <si>
    <t>fDepreciation - calculate depreciation</t>
  </si>
  <si>
    <t>fIncomeTax - calculate income tax</t>
  </si>
  <si>
    <t>fLimit - limit parameter value in target range</t>
  </si>
  <si>
    <t>fPayout - calculate payable sum from available cash flow and future cash flows</t>
  </si>
  <si>
    <t>fPBP - calculate simple and discounted payback periods</t>
  </si>
  <si>
    <t>fPI - calculate Profitability Index (PI)</t>
  </si>
  <si>
    <t>github: https://github.com/OlegPyatakov/InvestmentFunctions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</si>
</sst>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4" x14ac:knownFonts="1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/>
    <xf numFmtId="0" fontId="2" fillId="0" borderId="1" xfId="0" applyFont="1" applyBorder="1"/>
    <xf numFmtId="0" fontId="1" fillId="0" borderId="1" xfId="0" applyFont="1" applyBorder="1"/>
    <xf numFmtId="0" fontId="1" fillId="2" borderId="0" xfId="0" applyFont="1" applyFill="1"/>
    <xf numFmtId="164" fontId="1" fillId="2" borderId="0" xfId="0" applyNumberFormat="1" applyFont="1" applyFill="1"/>
    <xf numFmtId="9" fontId="1" fillId="0" borderId="0" xfId="0" applyNumberFormat="1" applyFont="1"/>
    <xf numFmtId="0" fontId="2" fillId="0" borderId="0" xfId="0" applyFont="1" applyBorder="1"/>
    <xf numFmtId="0" fontId="1" fillId="0" borderId="0" xfId="0" applyFont="1" applyBorder="1"/>
    <xf numFmtId="9" fontId="1" fillId="2" borderId="0" xfId="1" applyFont="1" applyFill="1"/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2050.digital">
      <a:dk1>
        <a:sysClr val="windowText" lastClr="000000"/>
      </a:dk1>
      <a:lt1>
        <a:sysClr val="window" lastClr="FFFFFF"/>
      </a:lt1>
      <a:dk2>
        <a:srgbClr val="2F5597"/>
      </a:dk2>
      <a:lt2>
        <a:srgbClr val="F0F3F4"/>
      </a:lt2>
      <a:accent1>
        <a:srgbClr val="0070C0"/>
      </a:accent1>
      <a:accent2>
        <a:srgbClr val="40AFFF"/>
      </a:accent2>
      <a:accent3>
        <a:srgbClr val="BFE4FF"/>
      </a:accent3>
      <a:accent4>
        <a:srgbClr val="FFC000"/>
      </a:accent4>
      <a:accent5>
        <a:srgbClr val="008000"/>
      </a:accent5>
      <a:accent6>
        <a:srgbClr val="FF0000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B5"/>
  <sheetViews>
    <sheetView showGridLines="0" tabSelected="1" zoomScale="85" zoomScaleNormal="85" workbookViewId="0"/>
  </sheetViews>
  <sheetFormatPr defaultColWidth="8.85546875" defaultRowHeight="15" x14ac:dyDescent="0.25"/>
  <cols>
    <col min="1" max="1" width="8.85546875" style="1"/>
    <col min="2" max="2" width="20" style="1" customWidth="1"/>
    <col min="3" max="16384" width="8.85546875" style="1"/>
  </cols>
  <sheetData>
    <row r="2" spans="2:2" x14ac:dyDescent="0.25">
      <c r="B2" s="2" t="s">
        <v>1</v>
      </c>
    </row>
    <row r="3" spans="2:2" x14ac:dyDescent="0.25">
      <c r="B3" s="1" t="s">
        <v>11</v>
      </c>
    </row>
    <row r="4" spans="2:2" x14ac:dyDescent="0.25">
      <c r="B4" s="1" t="s">
        <v>49</v>
      </c>
    </row>
    <row r="5" spans="2:2" x14ac:dyDescent="0.25">
      <c r="B5" s="1" t="s">
        <v>0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M71"/>
  <sheetViews>
    <sheetView zoomScale="85" zoomScaleNormal="85" workbookViewId="0"/>
  </sheetViews>
  <sheetFormatPr defaultColWidth="8.85546875" defaultRowHeight="15" x14ac:dyDescent="0.25"/>
  <cols>
    <col min="1" max="1" width="8.85546875" style="1"/>
    <col min="2" max="2" width="20" style="1" customWidth="1"/>
    <col min="3" max="16384" width="8.85546875" style="1"/>
  </cols>
  <sheetData>
    <row r="2" spans="2:7" x14ac:dyDescent="0.25">
      <c r="B2" s="2" t="s">
        <v>40</v>
      </c>
    </row>
    <row r="4" spans="2:7" x14ac:dyDescent="0.25">
      <c r="B4" s="4" t="s">
        <v>41</v>
      </c>
      <c r="C4" s="5"/>
      <c r="D4" s="5"/>
      <c r="E4" s="5"/>
      <c r="F4" s="5"/>
      <c r="G4" s="5"/>
    </row>
    <row r="6" spans="2:7" x14ac:dyDescent="0.25">
      <c r="B6" s="1" t="s">
        <v>8</v>
      </c>
      <c r="C6" s="1">
        <v>100</v>
      </c>
      <c r="D6" s="1">
        <v>110</v>
      </c>
      <c r="E6" s="1">
        <v>120</v>
      </c>
      <c r="F6" s="1">
        <v>140</v>
      </c>
    </row>
    <row r="8" spans="2:7" x14ac:dyDescent="0.25">
      <c r="B8" s="3" t="s">
        <v>4</v>
      </c>
      <c r="C8" s="11">
        <f>fCAGR(C6:F6)</f>
        <v>0.1186889420813968</v>
      </c>
    </row>
    <row r="11" spans="2:7" x14ac:dyDescent="0.25">
      <c r="B11" s="4" t="s">
        <v>42</v>
      </c>
      <c r="C11" s="5"/>
      <c r="D11" s="5"/>
      <c r="E11" s="5"/>
      <c r="F11" s="5"/>
      <c r="G11" s="5"/>
    </row>
    <row r="13" spans="2:7" x14ac:dyDescent="0.25">
      <c r="B13" s="1" t="s">
        <v>6</v>
      </c>
      <c r="C13" s="1">
        <v>100</v>
      </c>
    </row>
    <row r="14" spans="2:7" x14ac:dyDescent="0.25">
      <c r="B14" s="1" t="s">
        <v>7</v>
      </c>
      <c r="C14" s="1">
        <v>150</v>
      </c>
    </row>
    <row r="15" spans="2:7" x14ac:dyDescent="0.25">
      <c r="B15" s="1" t="s">
        <v>9</v>
      </c>
      <c r="C15" s="1">
        <v>2020</v>
      </c>
    </row>
    <row r="16" spans="2:7" x14ac:dyDescent="0.25">
      <c r="B16" s="1" t="s">
        <v>10</v>
      </c>
      <c r="C16" s="1">
        <v>2025</v>
      </c>
    </row>
    <row r="18" spans="2:13" x14ac:dyDescent="0.25">
      <c r="B18" s="3" t="s">
        <v>39</v>
      </c>
      <c r="C18" s="11">
        <f>fcagr2(C13,C14,C15,C16)</f>
        <v>8.4471771197698553E-2</v>
      </c>
    </row>
    <row r="21" spans="2:13" x14ac:dyDescent="0.25">
      <c r="B21" s="4" t="s">
        <v>43</v>
      </c>
      <c r="C21" s="5"/>
      <c r="D21" s="5"/>
      <c r="E21" s="5"/>
      <c r="F21" s="5"/>
      <c r="G21" s="5"/>
    </row>
    <row r="23" spans="2:13" x14ac:dyDescent="0.25">
      <c r="B23" s="1" t="s">
        <v>13</v>
      </c>
      <c r="C23" s="1">
        <v>10</v>
      </c>
      <c r="D23" s="1">
        <v>20</v>
      </c>
      <c r="E23" s="1">
        <v>10</v>
      </c>
      <c r="F23" s="1">
        <v>5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</row>
    <row r="24" spans="2:13" x14ac:dyDescent="0.25">
      <c r="B24" s="1" t="s">
        <v>14</v>
      </c>
      <c r="C24" s="1">
        <v>7</v>
      </c>
    </row>
    <row r="26" spans="2:13" x14ac:dyDescent="0.25">
      <c r="B26" s="2" t="s">
        <v>23</v>
      </c>
      <c r="D26" s="7">
        <f>fDepreciation($C$23:C23,$C$24)</f>
        <v>1.4285714285714284</v>
      </c>
      <c r="E26" s="7">
        <f>fDepreciation($C$23:D23,$C$24)</f>
        <v>4.2857142857142847</v>
      </c>
      <c r="F26" s="7">
        <f>fDepreciation($C$23:E23,$C$24)</f>
        <v>5.7142857142857135</v>
      </c>
      <c r="G26" s="7">
        <f>fDepreciation($C$23:F23,$C$24)</f>
        <v>6.428571428571427</v>
      </c>
      <c r="H26" s="7">
        <f>fDepreciation($C$23:G23,$C$24)</f>
        <v>6.428571428571427</v>
      </c>
      <c r="I26" s="7">
        <f>fDepreciation($C$23:H23,$C$24)</f>
        <v>6.428571428571427</v>
      </c>
      <c r="J26" s="7">
        <f>fDepreciation($C$23:I23,$C$24)</f>
        <v>6.428571428571427</v>
      </c>
      <c r="K26" s="7">
        <f>fDepreciation($C$23:J23,$C$24)</f>
        <v>4.9999999999999991</v>
      </c>
      <c r="L26" s="7">
        <f>fDepreciation($C$23:K23,$C$24)</f>
        <v>2.1428571428571423</v>
      </c>
      <c r="M26" s="7">
        <f>fDepreciation($C$23:L23,$C$24)</f>
        <v>0.71428571428571419</v>
      </c>
    </row>
    <row r="29" spans="2:13" x14ac:dyDescent="0.25">
      <c r="B29" s="4" t="s">
        <v>44</v>
      </c>
      <c r="C29" s="5"/>
      <c r="D29" s="5"/>
      <c r="E29" s="5"/>
      <c r="F29" s="5"/>
      <c r="G29" s="5"/>
    </row>
    <row r="31" spans="2:13" x14ac:dyDescent="0.25">
      <c r="B31" s="1" t="s">
        <v>16</v>
      </c>
      <c r="C31" s="1">
        <v>5</v>
      </c>
      <c r="D31" s="1">
        <v>10</v>
      </c>
      <c r="E31" s="1">
        <v>-10</v>
      </c>
      <c r="F31" s="1">
        <v>15</v>
      </c>
      <c r="G31" s="1">
        <v>20</v>
      </c>
      <c r="H31" s="1">
        <v>20</v>
      </c>
    </row>
    <row r="32" spans="2:13" x14ac:dyDescent="0.25">
      <c r="B32" s="1" t="s">
        <v>17</v>
      </c>
      <c r="C32" s="8">
        <v>0.2</v>
      </c>
    </row>
    <row r="33" spans="2:8" x14ac:dyDescent="0.25">
      <c r="B33" s="1" t="s">
        <v>18</v>
      </c>
      <c r="C33" s="1">
        <v>-7</v>
      </c>
    </row>
    <row r="35" spans="2:8" x14ac:dyDescent="0.25">
      <c r="B35" s="2" t="s">
        <v>24</v>
      </c>
      <c r="C35" s="6">
        <f>fIncomeTax($C$31:C31,$C$32,$C$33)</f>
        <v>0</v>
      </c>
      <c r="D35" s="6">
        <f>fIncomeTax($C$31:D31,$C$32,$C$33)</f>
        <v>1.6</v>
      </c>
      <c r="E35" s="6">
        <f>fIncomeTax($C$31:E31,$C$32,$C$33)</f>
        <v>0</v>
      </c>
      <c r="F35" s="6">
        <f>fIncomeTax($C$31:F31,$C$32,$C$33)</f>
        <v>1</v>
      </c>
      <c r="G35" s="6">
        <f>fIncomeTax($C$31:G31,$C$32,$C$33)</f>
        <v>4</v>
      </c>
      <c r="H35" s="6">
        <f>fIncomeTax($C$31:H31,$C$32,$C$33)</f>
        <v>4</v>
      </c>
    </row>
    <row r="38" spans="2:8" x14ac:dyDescent="0.25">
      <c r="B38" s="4" t="s">
        <v>45</v>
      </c>
      <c r="C38" s="5"/>
      <c r="D38" s="5"/>
      <c r="E38" s="5"/>
      <c r="F38" s="5"/>
      <c r="G38" s="5"/>
    </row>
    <row r="39" spans="2:8" x14ac:dyDescent="0.25">
      <c r="B39" s="9"/>
      <c r="C39" s="10"/>
      <c r="D39" s="10"/>
      <c r="E39" s="10"/>
      <c r="F39" s="10"/>
      <c r="G39" s="10"/>
    </row>
    <row r="40" spans="2:8" x14ac:dyDescent="0.25">
      <c r="B40" s="1" t="s">
        <v>20</v>
      </c>
      <c r="C40" s="1">
        <v>3</v>
      </c>
      <c r="D40" s="1">
        <v>6</v>
      </c>
      <c r="E40" s="1">
        <v>9</v>
      </c>
    </row>
    <row r="41" spans="2:8" x14ac:dyDescent="0.25">
      <c r="B41" s="1" t="s">
        <v>21</v>
      </c>
      <c r="C41" s="1">
        <v>4</v>
      </c>
      <c r="D41" s="1">
        <v>4</v>
      </c>
      <c r="E41" s="1">
        <v>4</v>
      </c>
    </row>
    <row r="42" spans="2:8" x14ac:dyDescent="0.25">
      <c r="B42" s="1" t="s">
        <v>22</v>
      </c>
      <c r="C42" s="1">
        <v>7</v>
      </c>
      <c r="D42" s="1">
        <v>7</v>
      </c>
      <c r="E42" s="1">
        <v>7</v>
      </c>
    </row>
    <row r="44" spans="2:8" x14ac:dyDescent="0.25">
      <c r="B44" s="2" t="s">
        <v>25</v>
      </c>
      <c r="C44" s="6">
        <f>fLimit(C40,C41,C42)</f>
        <v>4</v>
      </c>
      <c r="D44" s="6">
        <f t="shared" ref="D44:E44" si="0">fLimit(D40,D41,D42)</f>
        <v>6</v>
      </c>
      <c r="E44" s="6">
        <f t="shared" si="0"/>
        <v>7</v>
      </c>
    </row>
    <row r="47" spans="2:8" x14ac:dyDescent="0.25">
      <c r="B47" s="4" t="s">
        <v>46</v>
      </c>
      <c r="C47" s="5"/>
      <c r="D47" s="5"/>
      <c r="E47" s="5"/>
      <c r="F47" s="5"/>
      <c r="G47" s="5"/>
    </row>
    <row r="49" spans="2:8" x14ac:dyDescent="0.25">
      <c r="C49" s="1" t="s">
        <v>27</v>
      </c>
      <c r="D49" s="1" t="s">
        <v>28</v>
      </c>
    </row>
    <row r="50" spans="2:8" x14ac:dyDescent="0.25">
      <c r="C50" s="1">
        <v>10</v>
      </c>
      <c r="D50" s="1">
        <v>10</v>
      </c>
      <c r="E50" s="1">
        <v>-10</v>
      </c>
      <c r="F50" s="1">
        <v>30</v>
      </c>
      <c r="G50" s="1">
        <v>30</v>
      </c>
      <c r="H50" s="1">
        <v>-40</v>
      </c>
    </row>
    <row r="51" spans="2:8" x14ac:dyDescent="0.25">
      <c r="B51" s="1" t="s">
        <v>29</v>
      </c>
      <c r="C51" s="8">
        <v>0.1</v>
      </c>
    </row>
    <row r="52" spans="2:8" x14ac:dyDescent="0.25">
      <c r="B52" s="1" t="s">
        <v>30</v>
      </c>
      <c r="C52" s="1">
        <v>5</v>
      </c>
    </row>
    <row r="54" spans="2:8" x14ac:dyDescent="0.25">
      <c r="B54" s="2" t="s">
        <v>31</v>
      </c>
      <c r="C54" s="6">
        <f>fPayout(C50,D50:$H$50,$C$51,$C$52)</f>
        <v>6.6942148760330582</v>
      </c>
      <c r="D54" s="6">
        <f>fPayout(D50,E50:$H$50,$C$51,$C$52)</f>
        <v>0</v>
      </c>
      <c r="E54" s="6">
        <f>fPayout(E50,F50:$H$50,$C$51,$C$52)</f>
        <v>0</v>
      </c>
      <c r="F54" s="6">
        <f>fPayout(F50,G50:$H$50,$C$51,$C$52)</f>
        <v>20.082644628099175</v>
      </c>
      <c r="G54" s="6">
        <f>fPayout(G50,H50:$H$50,$C$51,$C$52)</f>
        <v>0</v>
      </c>
      <c r="H54" s="6">
        <f>fPayout(H50,$H50:I$50,$C$51,$C$52)</f>
        <v>0</v>
      </c>
    </row>
    <row r="57" spans="2:8" x14ac:dyDescent="0.25">
      <c r="B57" s="4" t="s">
        <v>47</v>
      </c>
      <c r="C57" s="5"/>
      <c r="D57" s="5"/>
      <c r="E57" s="5"/>
      <c r="F57" s="5"/>
      <c r="G57" s="5"/>
    </row>
    <row r="58" spans="2:8" x14ac:dyDescent="0.25">
      <c r="B58" s="9"/>
    </row>
    <row r="59" spans="2:8" x14ac:dyDescent="0.25">
      <c r="B59" s="1" t="s">
        <v>32</v>
      </c>
      <c r="C59" s="1">
        <v>-50</v>
      </c>
      <c r="D59" s="1">
        <v>15</v>
      </c>
      <c r="E59" s="1">
        <v>15</v>
      </c>
      <c r="F59" s="1">
        <v>15</v>
      </c>
      <c r="G59" s="1">
        <v>15</v>
      </c>
    </row>
    <row r="60" spans="2:8" x14ac:dyDescent="0.25">
      <c r="B60" s="1" t="s">
        <v>33</v>
      </c>
      <c r="C60" s="8">
        <v>0.2</v>
      </c>
    </row>
    <row r="61" spans="2:8" x14ac:dyDescent="0.25">
      <c r="B61" s="1" t="s">
        <v>34</v>
      </c>
      <c r="C61" s="1">
        <v>1.05</v>
      </c>
    </row>
    <row r="63" spans="2:8" x14ac:dyDescent="0.25">
      <c r="B63" s="2" t="s">
        <v>35</v>
      </c>
      <c r="C63" s="6">
        <f>fpbp(C59:G59,C60,C61)</f>
        <v>5.873795918367346</v>
      </c>
    </row>
    <row r="66" spans="2:7" x14ac:dyDescent="0.25">
      <c r="B66" s="4" t="s">
        <v>48</v>
      </c>
      <c r="C66" s="5"/>
      <c r="D66" s="5"/>
      <c r="E66" s="5"/>
      <c r="F66" s="5"/>
      <c r="G66" s="5"/>
    </row>
    <row r="68" spans="2:7" x14ac:dyDescent="0.25">
      <c r="B68" s="1" t="s">
        <v>32</v>
      </c>
      <c r="C68" s="1">
        <v>-50</v>
      </c>
      <c r="D68" s="1">
        <v>30</v>
      </c>
      <c r="E68" s="1">
        <v>30</v>
      </c>
      <c r="F68" s="1">
        <v>30</v>
      </c>
      <c r="G68" s="1">
        <v>30</v>
      </c>
    </row>
    <row r="69" spans="2:7" x14ac:dyDescent="0.25">
      <c r="B69" s="1" t="s">
        <v>33</v>
      </c>
      <c r="C69" s="8">
        <v>0.2</v>
      </c>
    </row>
    <row r="71" spans="2:7" x14ac:dyDescent="0.25">
      <c r="B71" s="2" t="s">
        <v>38</v>
      </c>
      <c r="C71" s="6">
        <f>fPI(C68:G68,C69)</f>
        <v>1.5532407407407405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M71"/>
  <sheetViews>
    <sheetView zoomScale="85" zoomScaleNormal="85" workbookViewId="0"/>
  </sheetViews>
  <sheetFormatPr defaultColWidth="8.85546875" defaultRowHeight="15" x14ac:dyDescent="0.25"/>
  <cols>
    <col min="1" max="1" width="8.85546875" style="1"/>
    <col min="2" max="2" width="20" style="1" customWidth="1"/>
    <col min="3" max="16384" width="8.85546875" style="1"/>
  </cols>
  <sheetData>
    <row r="2" spans="2:7" x14ac:dyDescent="0.25">
      <c r="B2" s="2" t="s">
        <v>3</v>
      </c>
    </row>
    <row r="4" spans="2:7" x14ac:dyDescent="0.25">
      <c r="B4" s="4" t="s">
        <v>2</v>
      </c>
      <c r="C4" s="5"/>
      <c r="D4" s="5"/>
      <c r="E4" s="5"/>
      <c r="F4" s="5"/>
      <c r="G4" s="5"/>
    </row>
    <row r="6" spans="2:7" x14ac:dyDescent="0.25">
      <c r="B6" s="1" t="s">
        <v>8</v>
      </c>
      <c r="C6" s="1">
        <v>100</v>
      </c>
      <c r="D6" s="1">
        <v>110</v>
      </c>
      <c r="E6" s="1">
        <v>120</v>
      </c>
      <c r="F6" s="1">
        <v>140</v>
      </c>
    </row>
    <row r="8" spans="2:7" x14ac:dyDescent="0.25">
      <c r="B8" s="3" t="s">
        <v>4</v>
      </c>
      <c r="C8" s="11">
        <f>fCAGR(C6:F6)</f>
        <v>0.1186889420813968</v>
      </c>
    </row>
    <row r="11" spans="2:7" x14ac:dyDescent="0.25">
      <c r="B11" s="4" t="s">
        <v>5</v>
      </c>
      <c r="C11" s="5"/>
      <c r="D11" s="5"/>
      <c r="E11" s="5"/>
      <c r="F11" s="5"/>
      <c r="G11" s="5"/>
    </row>
    <row r="13" spans="2:7" x14ac:dyDescent="0.25">
      <c r="B13" s="1" t="s">
        <v>6</v>
      </c>
      <c r="C13" s="1">
        <v>100</v>
      </c>
    </row>
    <row r="14" spans="2:7" x14ac:dyDescent="0.25">
      <c r="B14" s="1" t="s">
        <v>7</v>
      </c>
      <c r="C14" s="1">
        <v>150</v>
      </c>
    </row>
    <row r="15" spans="2:7" x14ac:dyDescent="0.25">
      <c r="B15" s="1" t="s">
        <v>9</v>
      </c>
      <c r="C15" s="1">
        <v>2020</v>
      </c>
    </row>
    <row r="16" spans="2:7" x14ac:dyDescent="0.25">
      <c r="B16" s="1" t="s">
        <v>10</v>
      </c>
      <c r="C16" s="1">
        <v>2025</v>
      </c>
    </row>
    <row r="18" spans="2:13" x14ac:dyDescent="0.25">
      <c r="B18" s="3" t="s">
        <v>39</v>
      </c>
      <c r="C18" s="11">
        <f>fcagr2(C13,C14,C15,C16)</f>
        <v>8.4471771197698553E-2</v>
      </c>
    </row>
    <row r="21" spans="2:13" x14ac:dyDescent="0.25">
      <c r="B21" s="4" t="s">
        <v>12</v>
      </c>
      <c r="C21" s="5"/>
      <c r="D21" s="5"/>
      <c r="E21" s="5"/>
      <c r="F21" s="5"/>
      <c r="G21" s="5"/>
    </row>
    <row r="23" spans="2:13" x14ac:dyDescent="0.25">
      <c r="B23" s="1" t="s">
        <v>13</v>
      </c>
      <c r="C23" s="1">
        <v>10</v>
      </c>
      <c r="D23" s="1">
        <v>20</v>
      </c>
      <c r="E23" s="1">
        <v>10</v>
      </c>
      <c r="F23" s="1">
        <v>5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</row>
    <row r="24" spans="2:13" x14ac:dyDescent="0.25">
      <c r="B24" s="1" t="s">
        <v>14</v>
      </c>
      <c r="C24" s="1">
        <v>7</v>
      </c>
    </row>
    <row r="26" spans="2:13" x14ac:dyDescent="0.25">
      <c r="B26" s="2" t="s">
        <v>23</v>
      </c>
      <c r="D26" s="7">
        <f>fDepreciation($C$23:C23,$C$24)</f>
        <v>1.4285714285714284</v>
      </c>
      <c r="E26" s="7">
        <f>fDepreciation($C$23:D23,$C$24)</f>
        <v>4.2857142857142847</v>
      </c>
      <c r="F26" s="7">
        <f>fDepreciation($C$23:E23,$C$24)</f>
        <v>5.7142857142857135</v>
      </c>
      <c r="G26" s="7">
        <f>fDepreciation($C$23:F23,$C$24)</f>
        <v>6.428571428571427</v>
      </c>
      <c r="H26" s="7">
        <f>fDepreciation($C$23:G23,$C$24)</f>
        <v>6.428571428571427</v>
      </c>
      <c r="I26" s="7">
        <f>fDepreciation($C$23:H23,$C$24)</f>
        <v>6.428571428571427</v>
      </c>
      <c r="J26" s="7">
        <f>fDepreciation($C$23:I23,$C$24)</f>
        <v>6.428571428571427</v>
      </c>
      <c r="K26" s="7">
        <f>fDepreciation($C$23:J23,$C$24)</f>
        <v>4.9999999999999991</v>
      </c>
      <c r="L26" s="7">
        <f>fDepreciation($C$23:K23,$C$24)</f>
        <v>2.1428571428571423</v>
      </c>
      <c r="M26" s="7">
        <f>fDepreciation($C$23:L23,$C$24)</f>
        <v>0.71428571428571419</v>
      </c>
    </row>
    <row r="29" spans="2:13" x14ac:dyDescent="0.25">
      <c r="B29" s="4" t="s">
        <v>15</v>
      </c>
      <c r="C29" s="5"/>
      <c r="D29" s="5"/>
      <c r="E29" s="5"/>
      <c r="F29" s="5"/>
      <c r="G29" s="5"/>
    </row>
    <row r="31" spans="2:13" x14ac:dyDescent="0.25">
      <c r="B31" s="1" t="s">
        <v>16</v>
      </c>
      <c r="C31" s="1">
        <v>5</v>
      </c>
      <c r="D31" s="1">
        <v>10</v>
      </c>
      <c r="E31" s="1">
        <v>-10</v>
      </c>
      <c r="F31" s="1">
        <v>15</v>
      </c>
      <c r="G31" s="1">
        <v>20</v>
      </c>
      <c r="H31" s="1">
        <v>20</v>
      </c>
    </row>
    <row r="32" spans="2:13" x14ac:dyDescent="0.25">
      <c r="B32" s="1" t="s">
        <v>17</v>
      </c>
      <c r="C32" s="8">
        <v>0.2</v>
      </c>
    </row>
    <row r="33" spans="2:8" x14ac:dyDescent="0.25">
      <c r="B33" s="1" t="s">
        <v>18</v>
      </c>
      <c r="C33" s="1">
        <v>-7</v>
      </c>
    </row>
    <row r="35" spans="2:8" x14ac:dyDescent="0.25">
      <c r="B35" s="2" t="s">
        <v>24</v>
      </c>
      <c r="C35" s="6">
        <f>fIncomeTax($C$31:C31,$C$32,$C$33)</f>
        <v>0</v>
      </c>
      <c r="D35" s="6">
        <f>fIncomeTax($C$31:D31,$C$32,$C$33)</f>
        <v>1.6</v>
      </c>
      <c r="E35" s="6">
        <f>fIncomeTax($C$31:E31,$C$32,$C$33)</f>
        <v>0</v>
      </c>
      <c r="F35" s="6">
        <f>fIncomeTax($C$31:F31,$C$32,$C$33)</f>
        <v>1</v>
      </c>
      <c r="G35" s="6">
        <f>fIncomeTax($C$31:G31,$C$32,$C$33)</f>
        <v>4</v>
      </c>
      <c r="H35" s="6">
        <f>fIncomeTax($C$31:H31,$C$32,$C$33)</f>
        <v>4</v>
      </c>
    </row>
    <row r="38" spans="2:8" x14ac:dyDescent="0.25">
      <c r="B38" s="4" t="s">
        <v>19</v>
      </c>
      <c r="C38" s="5"/>
      <c r="D38" s="5"/>
      <c r="E38" s="5"/>
      <c r="F38" s="5"/>
      <c r="G38" s="5"/>
    </row>
    <row r="39" spans="2:8" x14ac:dyDescent="0.25">
      <c r="B39" s="9"/>
      <c r="C39" s="10"/>
      <c r="D39" s="10"/>
      <c r="E39" s="10"/>
      <c r="F39" s="10"/>
      <c r="G39" s="10"/>
    </row>
    <row r="40" spans="2:8" x14ac:dyDescent="0.25">
      <c r="B40" s="1" t="s">
        <v>20</v>
      </c>
      <c r="C40" s="1">
        <v>3</v>
      </c>
      <c r="D40" s="1">
        <v>6</v>
      </c>
      <c r="E40" s="1">
        <v>9</v>
      </c>
    </row>
    <row r="41" spans="2:8" x14ac:dyDescent="0.25">
      <c r="B41" s="1" t="s">
        <v>21</v>
      </c>
      <c r="C41" s="1">
        <v>4</v>
      </c>
      <c r="D41" s="1">
        <v>4</v>
      </c>
      <c r="E41" s="1">
        <v>4</v>
      </c>
    </row>
    <row r="42" spans="2:8" x14ac:dyDescent="0.25">
      <c r="B42" s="1" t="s">
        <v>22</v>
      </c>
      <c r="C42" s="1">
        <v>7</v>
      </c>
      <c r="D42" s="1">
        <v>7</v>
      </c>
      <c r="E42" s="1">
        <v>7</v>
      </c>
    </row>
    <row r="44" spans="2:8" x14ac:dyDescent="0.25">
      <c r="B44" s="2" t="s">
        <v>25</v>
      </c>
      <c r="C44" s="6">
        <f>fLimit(C40,C41,C42)</f>
        <v>4</v>
      </c>
      <c r="D44" s="6">
        <f t="shared" ref="D44:E44" si="0">fLimit(D40,D41,D42)</f>
        <v>6</v>
      </c>
      <c r="E44" s="6">
        <f t="shared" si="0"/>
        <v>7</v>
      </c>
    </row>
    <row r="47" spans="2:8" x14ac:dyDescent="0.25">
      <c r="B47" s="4" t="s">
        <v>26</v>
      </c>
      <c r="C47" s="5"/>
      <c r="D47" s="5"/>
      <c r="E47" s="5"/>
      <c r="F47" s="5"/>
      <c r="G47" s="5"/>
    </row>
    <row r="49" spans="2:8" x14ac:dyDescent="0.25">
      <c r="C49" s="1" t="s">
        <v>27</v>
      </c>
      <c r="D49" s="1" t="s">
        <v>28</v>
      </c>
    </row>
    <row r="50" spans="2:8" x14ac:dyDescent="0.25">
      <c r="C50" s="1">
        <v>10</v>
      </c>
      <c r="D50" s="1">
        <v>10</v>
      </c>
      <c r="E50" s="1">
        <v>-10</v>
      </c>
      <c r="F50" s="1">
        <v>30</v>
      </c>
      <c r="G50" s="1">
        <v>30</v>
      </c>
      <c r="H50" s="1">
        <v>-40</v>
      </c>
    </row>
    <row r="51" spans="2:8" x14ac:dyDescent="0.25">
      <c r="B51" s="1" t="s">
        <v>29</v>
      </c>
      <c r="C51" s="8">
        <v>0.1</v>
      </c>
    </row>
    <row r="52" spans="2:8" x14ac:dyDescent="0.25">
      <c r="B52" s="1" t="s">
        <v>30</v>
      </c>
      <c r="C52" s="1">
        <v>5</v>
      </c>
    </row>
    <row r="54" spans="2:8" x14ac:dyDescent="0.25">
      <c r="B54" s="2" t="s">
        <v>31</v>
      </c>
      <c r="C54" s="6">
        <f>fPayout(C50,D50:$H$50,$C$51,$C$52)</f>
        <v>6.6942148760330582</v>
      </c>
      <c r="D54" s="6">
        <f>fPayout(D50,E50:$H$50,$C$51,$C$52)</f>
        <v>0</v>
      </c>
      <c r="E54" s="6">
        <f>fPayout(E50,F50:$H$50,$C$51,$C$52)</f>
        <v>0</v>
      </c>
      <c r="F54" s="6">
        <f>fPayout(F50,G50:$H$50,$C$51,$C$52)</f>
        <v>20.082644628099175</v>
      </c>
      <c r="G54" s="6">
        <f>fPayout(G50,H50:$H$50,$C$51,$C$52)</f>
        <v>0</v>
      </c>
      <c r="H54" s="6">
        <f>fPayout(H50,$H50:I$50,$C$51,$C$52)</f>
        <v>0</v>
      </c>
    </row>
    <row r="57" spans="2:8" x14ac:dyDescent="0.25">
      <c r="B57" s="4" t="s">
        <v>36</v>
      </c>
      <c r="C57" s="5"/>
      <c r="D57" s="5"/>
      <c r="E57" s="5"/>
      <c r="F57" s="5"/>
      <c r="G57" s="5"/>
    </row>
    <row r="58" spans="2:8" x14ac:dyDescent="0.25">
      <c r="B58" s="9"/>
    </row>
    <row r="59" spans="2:8" x14ac:dyDescent="0.25">
      <c r="B59" s="1" t="s">
        <v>32</v>
      </c>
      <c r="C59" s="1">
        <v>-50</v>
      </c>
      <c r="D59" s="1">
        <v>15</v>
      </c>
      <c r="E59" s="1">
        <v>15</v>
      </c>
      <c r="F59" s="1">
        <v>15</v>
      </c>
      <c r="G59" s="1">
        <v>15</v>
      </c>
    </row>
    <row r="60" spans="2:8" x14ac:dyDescent="0.25">
      <c r="B60" s="1" t="s">
        <v>33</v>
      </c>
      <c r="C60" s="8">
        <v>0.2</v>
      </c>
    </row>
    <row r="61" spans="2:8" x14ac:dyDescent="0.25">
      <c r="B61" s="1" t="s">
        <v>34</v>
      </c>
      <c r="C61" s="1">
        <v>1.05</v>
      </c>
    </row>
    <row r="63" spans="2:8" x14ac:dyDescent="0.25">
      <c r="B63" s="2" t="s">
        <v>35</v>
      </c>
      <c r="C63" s="6">
        <f>fpbp(C59:G59,C60,C61)</f>
        <v>5.873795918367346</v>
      </c>
    </row>
    <row r="66" spans="2:7" x14ac:dyDescent="0.25">
      <c r="B66" s="4" t="s">
        <v>37</v>
      </c>
      <c r="C66" s="5"/>
      <c r="D66" s="5"/>
      <c r="E66" s="5"/>
      <c r="F66" s="5"/>
      <c r="G66" s="5"/>
    </row>
    <row r="68" spans="2:7" x14ac:dyDescent="0.25">
      <c r="B68" s="1" t="s">
        <v>32</v>
      </c>
      <c r="C68" s="1">
        <v>-50</v>
      </c>
      <c r="D68" s="1">
        <v>30</v>
      </c>
      <c r="E68" s="1">
        <v>30</v>
      </c>
      <c r="F68" s="1">
        <v>30</v>
      </c>
      <c r="G68" s="1">
        <v>30</v>
      </c>
    </row>
    <row r="69" spans="2:7" x14ac:dyDescent="0.25">
      <c r="B69" s="1" t="s">
        <v>33</v>
      </c>
      <c r="C69" s="8">
        <v>0.2</v>
      </c>
    </row>
    <row r="71" spans="2:7" x14ac:dyDescent="0.25">
      <c r="B71" s="2" t="s">
        <v>38</v>
      </c>
      <c r="C71" s="6">
        <f>fPI(C68:G68,C69)</f>
        <v>1.5532407407407405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About</vt:lpstr>
      <vt:lpstr>Examples_EN</vt:lpstr>
      <vt:lpstr>Examples_RU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Oleg Pyatakov (oleg@pyatakov.com)</dc:creator>
  <cp:lastModifiedBy>Oleg Pyatakov</cp:lastModifiedBy>
  <dcterms:created xsi:type="dcterms:W3CDTF">2018-07-26T07:00:20Z</dcterms:created>
  <dcterms:modified xsi:type="dcterms:W3CDTF">2019-12-08T15:32:23Z</dcterms:modified>
</cp:coreProperties>
</file>